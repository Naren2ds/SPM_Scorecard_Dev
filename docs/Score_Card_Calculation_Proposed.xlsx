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Supplier Score Card/Dev/SPM_Scorecard_Dev/docs/"/>
    </mc:Choice>
  </mc:AlternateContent>
  <xr:revisionPtr revIDLastSave="30" documentId="8_{3FB8EE00-BF17-4987-9D4F-36973ABFA87C}" xr6:coauthVersionLast="47" xr6:coauthVersionMax="47" xr10:uidLastSave="{F9A624A3-036D-49C6-9AB8-2CE0FF518346}"/>
  <bookViews>
    <workbookView xWindow="-110" yWindow="-110" windowWidth="19420" windowHeight="11500" activeTab="1" xr2:uid="{0219637B-15DE-4829-A5A4-F607DC33C03F}"/>
  </bookViews>
  <sheets>
    <sheet name="Sample Scorecard_Calculation" sheetId="1" r:id="rId1"/>
    <sheet name="Mapping" sheetId="2" r:id="rId2"/>
  </sheets>
  <definedNames>
    <definedName name="_xlnm._FilterDatabase" localSheetId="1" hidden="1">Mapping!$A$1:$F$15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D19" i="1"/>
  <c r="C19" i="1"/>
  <c r="D18" i="1"/>
  <c r="C18" i="1"/>
  <c r="D17" i="1"/>
  <c r="C17" i="1"/>
  <c r="D16" i="1"/>
  <c r="C25" i="1" s="1"/>
  <c r="C16" i="1"/>
  <c r="E11" i="1"/>
  <c r="E10" i="1"/>
  <c r="E8" i="1"/>
  <c r="E7" i="1"/>
  <c r="E6" i="1"/>
  <c r="E5" i="1"/>
  <c r="E19" i="1" l="1"/>
  <c r="E17" i="1"/>
  <c r="E18" i="1"/>
  <c r="E16" i="1"/>
  <c r="F17" i="1"/>
  <c r="F18" i="1"/>
  <c r="F19" i="1"/>
  <c r="F16" i="1"/>
  <c r="B25" i="1" l="1"/>
  <c r="E25" i="1" s="1"/>
  <c r="F25" i="1" s="1"/>
</calcChain>
</file>

<file path=xl/sharedStrings.xml><?xml version="1.0" encoding="utf-8"?>
<sst xmlns="http://schemas.openxmlformats.org/spreadsheetml/2006/main" count="125" uniqueCount="81">
  <si>
    <t>Proposed Normalized Scorecard Calculation</t>
  </si>
  <si>
    <t>Uses earned scores from the individual KPI workbooks and rolls them into pillar scores and the overall normalized supplier score.</t>
  </si>
  <si>
    <t>Pillar</t>
  </si>
  <si>
    <t>KPI</t>
  </si>
  <si>
    <t>Earned Score</t>
  </si>
  <si>
    <t>Max Score</t>
  </si>
  <si>
    <t>KPI Score %</t>
  </si>
  <si>
    <t>Include in Proposed?</t>
  </si>
  <si>
    <t>Service Level</t>
  </si>
  <si>
    <t>DOT</t>
  </si>
  <si>
    <t>Yes</t>
  </si>
  <si>
    <t>Quality</t>
  </si>
  <si>
    <t>Operational</t>
  </si>
  <si>
    <t>POT</t>
  </si>
  <si>
    <t>IOT</t>
  </si>
  <si>
    <t>Sustainability</t>
  </si>
  <si>
    <t>Value Creation</t>
  </si>
  <si>
    <t>Growth / Innovation Adoption</t>
  </si>
  <si>
    <t>Pillar Weight</t>
  </si>
  <si>
    <t>Earned KPI Points</t>
  </si>
  <si>
    <t>Applicable KPI Max Points</t>
  </si>
  <si>
    <t>Pillar Score %</t>
  </si>
  <si>
    <t>Weighted Contribution</t>
  </si>
  <si>
    <t>Overall Normalized Supplier Score</t>
  </si>
  <si>
    <t>Formula</t>
  </si>
  <si>
    <t>SUM(Pillar Score x Pillar Weight)</t>
  </si>
  <si>
    <t>SUM(Applicable Pillar Weight)</t>
  </si>
  <si>
    <t>x 100</t>
  </si>
  <si>
    <t>Final Score</t>
  </si>
  <si>
    <t>Final Score (for dashboard)</t>
  </si>
  <si>
    <t>Calculation</t>
  </si>
  <si>
    <t>Step-by-step explanation</t>
  </si>
  <si>
    <t>Step</t>
  </si>
  <si>
    <t>Calculation Layer</t>
  </si>
  <si>
    <t>Explanation</t>
  </si>
  <si>
    <t>Step 1</t>
  </si>
  <si>
    <t>KPI scores</t>
  </si>
  <si>
    <t>Take the Earned Score and Max Score from each individual KPI workbook.</t>
  </si>
  <si>
    <t>Step 2</t>
  </si>
  <si>
    <t>Pillar Score</t>
  </si>
  <si>
    <t>For each pillar, divide the sum of included earned KPI points by the sum of included max KPI points.</t>
  </si>
  <si>
    <t>Step 3</t>
  </si>
  <si>
    <t>Multiply each Pillar Score % by its Pillar Weight.</t>
  </si>
  <si>
    <t>Step 4</t>
  </si>
  <si>
    <t>Overall Score</t>
  </si>
  <si>
    <t>Divide total weighted contribution by total applicable pillar weight and multiply by 100.</t>
  </si>
  <si>
    <t xml:space="preserve"> Supplier Maturity</t>
  </si>
  <si>
    <t>Scope3 +</t>
  </si>
  <si>
    <t>KPI ID</t>
  </si>
  <si>
    <t>Category</t>
  </si>
  <si>
    <t>KPI Name</t>
  </si>
  <si>
    <t>Weight</t>
  </si>
  <si>
    <t>SL-DOT</t>
  </si>
  <si>
    <t xml:space="preserve">OnTime Delivery (DOT) (G) </t>
  </si>
  <si>
    <t>SL-NPS</t>
  </si>
  <si>
    <t xml:space="preserve">Net Promoter Score (NPS)  (L) </t>
  </si>
  <si>
    <t>SL-QUAL</t>
  </si>
  <si>
    <t xml:space="preserve">Quality (G) </t>
  </si>
  <si>
    <t>SL-TURN</t>
  </si>
  <si>
    <t xml:space="preserve">Turnover (L) </t>
  </si>
  <si>
    <t>SL-POACC</t>
  </si>
  <si>
    <t xml:space="preserve">PO Acceptance (Inter) </t>
  </si>
  <si>
    <t>OP-PRICE</t>
  </si>
  <si>
    <t>Price Divergence (G)</t>
  </si>
  <si>
    <t>OP-CONF</t>
  </si>
  <si>
    <t xml:space="preserve">Invoice Conformity   (G) </t>
  </si>
  <si>
    <t>OP-IOT</t>
  </si>
  <si>
    <t>Invoice OnTime (IOT) - G</t>
  </si>
  <si>
    <t>SU-MAT</t>
  </si>
  <si>
    <t xml:space="preserve">Supplier Maturity (Interrog) </t>
  </si>
  <si>
    <t>SU-ECL</t>
  </si>
  <si>
    <t>Eclipse Score - (Inter)</t>
  </si>
  <si>
    <t>SU-CO2</t>
  </si>
  <si>
    <t xml:space="preserve">CO₂ Emission Reduction - G </t>
  </si>
  <si>
    <t>VC-COST</t>
  </si>
  <si>
    <t xml:space="preserve">Cost - L </t>
  </si>
  <si>
    <t>VC-CASH</t>
  </si>
  <si>
    <t xml:space="preserve">Cash - L </t>
  </si>
  <si>
    <t>VC-ENG</t>
  </si>
  <si>
    <t xml:space="preserve">Engagement  - L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</si>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</sst>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2"/>
      <name val="Carlito"/>
    </font>
    <font>
      <b/>
      <sz val="10"/>
      <color rgb="FFFFFFFF"/>
      <name val="Calibri"/>
      <family val="2"/>
    </font>
    <font>
      <sz val="10"/>
      <color rgb="FF111827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0F766E"/>
      </patternFill>
    </fill>
    <fill>
      <patternFill patternType="solid">
        <fgColor rgb="FF166534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334155"/>
      </patternFill>
    </fill>
    <fill>
      <patternFill patternType="solid">
        <fgColor rgb="FFCBD5E1"/>
      </patternFill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DF4"/>
      </patternFill>
    </fill>
    <fill>
      <patternFill patternType="solid">
        <fgColor rgb="FFFEFB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center" vertical="top" wrapText="1"/>
    </xf>
    <xf numFmtId="0" fontId="4" fillId="7" borderId="0" xfId="0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3" fillId="9" borderId="0" xfId="0" applyFont="1" applyFill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DD60-8C2B-47A5-A649-E997067CB7E5}">
  <dimension ref="A1:J36"/>
  <sheetViews>
    <sheetView zoomScale="70" zoomScaleNormal="70" workbookViewId="0">
      <selection activeCell="F5" sqref="F5"/>
    </sheetView>
  </sheetViews>
  <sheetFormatPr defaultRowHeight="14.5"/>
  <cols>
    <col min="1" max="1" width="19.6328125" customWidth="1"/>
    <col min="2" max="2" width="24" customWidth="1"/>
    <col min="3" max="3" width="34.90625" customWidth="1"/>
    <col min="4" max="4" width="19.6328125" customWidth="1"/>
    <col min="5" max="5" width="21.81640625" customWidth="1"/>
    <col min="6" max="6" width="30.54296875" customWidth="1"/>
    <col min="7" max="7" width="17.453125" customWidth="1"/>
    <col min="8" max="8" width="55.81640625" customWidth="1"/>
    <col min="9" max="9" width="37.08984375" customWidth="1"/>
    <col min="10" max="10" width="32.7265625" customWidth="1"/>
    <col min="11" max="11" width="34.90625" customWidth="1"/>
  </cols>
  <sheetData>
    <row r="1" spans="1:10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4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4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H4" s="5"/>
      <c r="I4" s="6"/>
    </row>
    <row r="5" spans="1:10" s="11" customFormat="1">
      <c r="A5" s="7" t="s">
        <v>8</v>
      </c>
      <c r="B5" s="7" t="s">
        <v>9</v>
      </c>
      <c r="C5" s="8">
        <v>15</v>
      </c>
      <c r="D5" s="8">
        <v>15</v>
      </c>
      <c r="E5" s="9">
        <f t="shared" ref="E5:E11" si="0">IFERROR(C5/D5,"")</f>
        <v>1</v>
      </c>
      <c r="F5" s="7" t="s">
        <v>10</v>
      </c>
      <c r="H5" s="10"/>
      <c r="I5" s="7"/>
    </row>
    <row r="6" spans="1:10" s="11" customFormat="1">
      <c r="A6" s="7" t="s">
        <v>8</v>
      </c>
      <c r="B6" s="7" t="s">
        <v>11</v>
      </c>
      <c r="C6" s="8">
        <v>3</v>
      </c>
      <c r="D6" s="8">
        <v>5</v>
      </c>
      <c r="E6" s="9">
        <f t="shared" si="0"/>
        <v>0.6</v>
      </c>
      <c r="F6" s="7" t="s">
        <v>10</v>
      </c>
      <c r="H6" s="10"/>
      <c r="I6" s="7"/>
    </row>
    <row r="7" spans="1:10" s="11" customFormat="1">
      <c r="A7" s="7" t="s">
        <v>12</v>
      </c>
      <c r="B7" s="7" t="s">
        <v>13</v>
      </c>
      <c r="C7" s="8">
        <v>15</v>
      </c>
      <c r="D7" s="8">
        <v>15</v>
      </c>
      <c r="E7" s="9">
        <f t="shared" si="0"/>
        <v>1</v>
      </c>
      <c r="F7" s="7" t="s">
        <v>10</v>
      </c>
      <c r="H7" s="10"/>
      <c r="I7" s="7"/>
    </row>
    <row r="8" spans="1:10" s="11" customFormat="1">
      <c r="A8" s="7" t="s">
        <v>12</v>
      </c>
      <c r="B8" s="7" t="s">
        <v>14</v>
      </c>
      <c r="C8" s="8">
        <v>0</v>
      </c>
      <c r="D8" s="8">
        <v>10</v>
      </c>
      <c r="E8" s="9">
        <f t="shared" si="0"/>
        <v>0</v>
      </c>
      <c r="F8" s="7" t="s">
        <v>10</v>
      </c>
      <c r="H8" s="10"/>
      <c r="I8" s="7"/>
    </row>
    <row r="9" spans="1:10" s="11" customFormat="1">
      <c r="A9" s="7" t="s">
        <v>15</v>
      </c>
      <c r="B9" s="7" t="s">
        <v>47</v>
      </c>
      <c r="C9" s="8">
        <v>4</v>
      </c>
      <c r="D9" s="8">
        <v>5</v>
      </c>
      <c r="E9" s="9">
        <f t="shared" si="0"/>
        <v>0.8</v>
      </c>
      <c r="F9" s="7" t="s">
        <v>10</v>
      </c>
      <c r="H9" s="10"/>
      <c r="I9" s="7"/>
    </row>
    <row r="10" spans="1:10" s="11" customFormat="1">
      <c r="A10" s="7" t="s">
        <v>15</v>
      </c>
      <c r="B10" s="7" t="s">
        <v>46</v>
      </c>
      <c r="C10" s="8">
        <v>0</v>
      </c>
      <c r="D10" s="8">
        <v>15</v>
      </c>
      <c r="E10" s="9">
        <f t="shared" si="0"/>
        <v>0</v>
      </c>
      <c r="F10" s="7" t="s">
        <v>10</v>
      </c>
      <c r="H10" s="10"/>
      <c r="I10" s="7"/>
    </row>
    <row r="11" spans="1:10" s="11" customFormat="1" ht="22.5" customHeight="1">
      <c r="A11" s="7" t="s">
        <v>16</v>
      </c>
      <c r="B11" s="7" t="s">
        <v>17</v>
      </c>
      <c r="C11" s="8">
        <v>0</v>
      </c>
      <c r="D11" s="8">
        <v>10</v>
      </c>
      <c r="E11" s="9">
        <f t="shared" si="0"/>
        <v>0</v>
      </c>
      <c r="F11" s="7" t="s">
        <v>10</v>
      </c>
      <c r="H11" s="10"/>
      <c r="I11" s="7"/>
    </row>
    <row r="12" spans="1:10" s="11" customFormat="1">
      <c r="A12" s="7"/>
      <c r="B12" s="7"/>
      <c r="C12" s="8"/>
      <c r="D12" s="8"/>
      <c r="E12" s="8"/>
      <c r="F12" s="9"/>
      <c r="G12" s="7"/>
      <c r="H12" s="7"/>
      <c r="I12" s="7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s="14" customFormat="1" ht="28">
      <c r="A15" s="12" t="s">
        <v>2</v>
      </c>
      <c r="B15" s="12" t="s">
        <v>18</v>
      </c>
      <c r="C15" s="12" t="s">
        <v>19</v>
      </c>
      <c r="D15" s="12" t="s">
        <v>20</v>
      </c>
      <c r="E15" s="12" t="s">
        <v>21</v>
      </c>
      <c r="F15" s="12" t="s">
        <v>22</v>
      </c>
      <c r="G15" s="13"/>
      <c r="H15" s="13"/>
      <c r="I15" s="13"/>
      <c r="J15" s="13"/>
    </row>
    <row r="16" spans="1:10">
      <c r="A16" s="7" t="s">
        <v>8</v>
      </c>
      <c r="B16" s="8">
        <v>30</v>
      </c>
      <c r="C16" s="8">
        <f>SUMIFS($C$5:$C$11,$A$5:$A$11,A16,$F$5:$F$11,"Yes")</f>
        <v>18</v>
      </c>
      <c r="D16" s="8">
        <f>SUMIFS($D$5:$D$11,$A$5:$A$11,A16,$F$5:$F$11,"Yes")</f>
        <v>20</v>
      </c>
      <c r="E16" s="9">
        <f>IFERROR(C16/D16,"")</f>
        <v>0.9</v>
      </c>
      <c r="F16" s="8">
        <f>IF(D16&gt;0,E16*B16,0)</f>
        <v>27</v>
      </c>
      <c r="G16" s="4"/>
      <c r="H16" s="4"/>
      <c r="I16" s="4"/>
      <c r="J16" s="4"/>
    </row>
    <row r="17" spans="1:10">
      <c r="A17" s="7" t="s">
        <v>12</v>
      </c>
      <c r="B17" s="8">
        <v>25</v>
      </c>
      <c r="C17" s="8">
        <f>SUMIFS($C$5:$C$11,$A$5:$A$11,A17,$F$5:$F$11,"Yes")</f>
        <v>15</v>
      </c>
      <c r="D17" s="8">
        <f>SUMIFS($D$5:$D$11,$A$5:$A$11,A17,$F$5:$F$11,"Yes")</f>
        <v>25</v>
      </c>
      <c r="E17" s="9">
        <f>IFERROR(C17/D17,"")</f>
        <v>0.6</v>
      </c>
      <c r="F17" s="8">
        <f>IF(D17&gt;0,E17*B17,0)</f>
        <v>15</v>
      </c>
      <c r="G17" s="4"/>
      <c r="H17" s="4"/>
      <c r="I17" s="4"/>
      <c r="J17" s="4"/>
    </row>
    <row r="18" spans="1:10">
      <c r="A18" s="7" t="s">
        <v>15</v>
      </c>
      <c r="B18" s="8">
        <v>25</v>
      </c>
      <c r="C18" s="8">
        <f>SUMIFS($C$5:$C$11,$A$5:$A$11,A18,$F$5:$F$11,"Yes")</f>
        <v>4</v>
      </c>
      <c r="D18" s="8">
        <f>SUMIFS($D$5:$D$11,$A$5:$A$11,A18,$F$5:$F$11,"Yes")</f>
        <v>20</v>
      </c>
      <c r="E18" s="9">
        <f>IFERROR(C18/D18,"")</f>
        <v>0.2</v>
      </c>
      <c r="F18" s="8">
        <f>IF(D18&gt;0,E18*B18,0)</f>
        <v>5</v>
      </c>
      <c r="G18" s="4"/>
      <c r="H18" s="4"/>
      <c r="I18" s="4"/>
      <c r="J18" s="4"/>
    </row>
    <row r="19" spans="1:10">
      <c r="A19" s="7" t="s">
        <v>16</v>
      </c>
      <c r="B19" s="8">
        <v>20</v>
      </c>
      <c r="C19" s="8">
        <f>SUMIFS($C$5:$C$11,$A$5:$A$11,A19,$F$5:$F$11,"Yes")</f>
        <v>0</v>
      </c>
      <c r="D19" s="8">
        <f>SUMIFS($D$5:$D$11,$A$5:$A$11,A19,$F$5:$F$11,"Yes")</f>
        <v>10</v>
      </c>
      <c r="E19" s="9">
        <f>IFERROR(C19/D19,"")</f>
        <v>0</v>
      </c>
      <c r="F19" s="8">
        <f>IF(D19&gt;0,E19*B19,0)</f>
        <v>0</v>
      </c>
      <c r="G19" s="4"/>
      <c r="H19" s="4"/>
      <c r="I19" s="4"/>
      <c r="J19" s="4"/>
    </row>
    <row r="20" spans="1:10">
      <c r="A20" s="7"/>
      <c r="B20" s="8"/>
      <c r="C20" s="8"/>
      <c r="D20" s="8"/>
      <c r="E20" s="9"/>
      <c r="F20" s="8"/>
      <c r="G20" s="4"/>
      <c r="H20" s="4"/>
      <c r="I20" s="4"/>
      <c r="J20" s="4"/>
    </row>
    <row r="21" spans="1:10">
      <c r="A21" s="7"/>
      <c r="B21" s="8"/>
      <c r="C21" s="8"/>
      <c r="D21" s="8"/>
      <c r="E21" s="9"/>
      <c r="F21" s="8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15" t="s">
        <v>23</v>
      </c>
      <c r="B23" s="15"/>
      <c r="C23" s="15"/>
      <c r="D23" s="15"/>
      <c r="E23" s="15"/>
      <c r="F23" s="15"/>
      <c r="G23" s="4"/>
      <c r="H23" s="4"/>
      <c r="I23" s="4"/>
      <c r="J23" s="4"/>
    </row>
    <row r="24" spans="1:10" ht="28">
      <c r="A24" s="16" t="s">
        <v>24</v>
      </c>
      <c r="B24" s="16" t="s">
        <v>25</v>
      </c>
      <c r="C24" s="16" t="s">
        <v>26</v>
      </c>
      <c r="D24" s="16" t="s">
        <v>27</v>
      </c>
      <c r="E24" s="16" t="s">
        <v>28</v>
      </c>
      <c r="F24" s="16" t="s">
        <v>29</v>
      </c>
      <c r="G24" s="4"/>
      <c r="H24" s="4"/>
      <c r="I24" s="4"/>
      <c r="J24" s="4"/>
    </row>
    <row r="25" spans="1:10" ht="15.5">
      <c r="A25" s="7" t="s">
        <v>30</v>
      </c>
      <c r="B25" s="8">
        <f>SUM(F16:F19)</f>
        <v>47</v>
      </c>
      <c r="C25" s="8">
        <f>SUMIFS(B16:B19,D16:D19,"&gt;0")</f>
        <v>100</v>
      </c>
      <c r="D25" s="8">
        <v>100</v>
      </c>
      <c r="E25" s="17">
        <f>IFERROR(B25/C25*D25,"")</f>
        <v>47</v>
      </c>
      <c r="F25" s="17">
        <f>E25</f>
        <v>47</v>
      </c>
      <c r="G25" s="4"/>
      <c r="H25" s="4"/>
      <c r="I25" s="4"/>
      <c r="J25" s="4"/>
    </row>
    <row r="26" spans="1:10">
      <c r="A26" s="4"/>
      <c r="B26" s="18"/>
      <c r="C26" s="18"/>
      <c r="H26" s="4"/>
      <c r="I26" s="4"/>
      <c r="J26" s="4"/>
    </row>
    <row r="27" spans="1:10">
      <c r="A27" s="4"/>
      <c r="B27" s="18"/>
      <c r="C27" s="18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19" t="s">
        <v>31</v>
      </c>
      <c r="B30" s="19"/>
      <c r="C30" s="19"/>
      <c r="D30" s="19"/>
      <c r="E30" s="19"/>
      <c r="F30" s="19"/>
      <c r="G30" s="19"/>
      <c r="H30" s="19"/>
      <c r="I30" s="19"/>
      <c r="J30" s="19"/>
    </row>
    <row r="31" spans="1:10">
      <c r="A31" s="20" t="s">
        <v>32</v>
      </c>
      <c r="B31" s="20" t="s">
        <v>33</v>
      </c>
      <c r="C31" s="20" t="s">
        <v>34</v>
      </c>
      <c r="D31" s="4"/>
      <c r="E31" s="4"/>
      <c r="F31" s="4"/>
      <c r="G31" s="4"/>
      <c r="H31" s="4"/>
      <c r="I31" s="4"/>
      <c r="J31" s="4"/>
    </row>
    <row r="32" spans="1:10" ht="29">
      <c r="A32" s="4" t="s">
        <v>35</v>
      </c>
      <c r="B32" s="4" t="s">
        <v>36</v>
      </c>
      <c r="C32" s="4" t="s">
        <v>37</v>
      </c>
      <c r="D32" s="4"/>
      <c r="E32" s="4"/>
      <c r="F32" s="4"/>
      <c r="G32" s="4"/>
      <c r="H32" s="4"/>
      <c r="I32" s="4"/>
      <c r="J32" s="4"/>
    </row>
    <row r="33" spans="1:10" ht="43.5">
      <c r="A33" s="4" t="s">
        <v>38</v>
      </c>
      <c r="B33" s="4" t="s">
        <v>39</v>
      </c>
      <c r="C33" s="4" t="s">
        <v>40</v>
      </c>
      <c r="D33" s="4"/>
      <c r="E33" s="4"/>
      <c r="F33" s="4"/>
      <c r="G33" s="4"/>
      <c r="H33" s="4"/>
      <c r="I33" s="4"/>
      <c r="J33" s="4"/>
    </row>
    <row r="34" spans="1:10" ht="29">
      <c r="A34" s="4" t="s">
        <v>41</v>
      </c>
      <c r="B34" s="4" t="s">
        <v>22</v>
      </c>
      <c r="C34" s="4" t="s">
        <v>42</v>
      </c>
      <c r="D34" s="4"/>
      <c r="E34" s="4"/>
      <c r="F34" s="4"/>
      <c r="G34" s="4"/>
      <c r="H34" s="4"/>
      <c r="I34" s="4"/>
      <c r="J34" s="4"/>
    </row>
    <row r="35" spans="1:10" ht="43.5">
      <c r="A35" s="4" t="s">
        <v>43</v>
      </c>
      <c r="B35" s="4" t="s">
        <v>44</v>
      </c>
      <c r="C35" s="4" t="s">
        <v>45</v>
      </c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mergeCells count="4">
    <mergeCell ref="A1:J1"/>
    <mergeCell ref="A2:J2"/>
    <mergeCell ref="A23:F23"/>
    <mergeCell ref="A30:J30"/>
  </mergeCells>
  <conditionalFormatting sqref="E16:E2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G12 F5:F11" xr:uid="{4A1BAD4D-A363-4947-B2B1-FE6F05993F58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C8F6-0A92-41C9-ADB4-55CB2864810E}">
  <dimension ref="A1:F15"/>
  <sheetViews>
    <sheetView tabSelected="1" zoomScale="70" zoomScaleNormal="70" workbookViewId="0">
      <selection activeCell="A4" sqref="A4:B4"/>
    </sheetView>
  </sheetViews>
  <sheetFormatPr defaultColWidth="26.26953125" defaultRowHeight="14.5"/>
  <sheetData>
    <row r="1" spans="1:6" ht="26" customHeight="1">
      <c r="A1" s="21" t="s">
        <v>48</v>
      </c>
      <c r="B1" s="21" t="s">
        <v>49</v>
      </c>
      <c r="C1" s="21" t="s">
        <v>18</v>
      </c>
      <c r="D1" s="21" t="s">
        <v>50</v>
      </c>
      <c r="E1" s="21" t="s">
        <v>51</v>
      </c>
      <c r="F1" s="5" t="s">
        <v>7</v>
      </c>
    </row>
    <row r="2" spans="1:6">
      <c r="A2" s="22" t="s">
        <v>52</v>
      </c>
      <c r="B2" s="22" t="s">
        <v>8</v>
      </c>
      <c r="C2" s="23">
        <v>40</v>
      </c>
      <c r="D2" s="22" t="s">
        <v>53</v>
      </c>
      <c r="E2" s="24">
        <v>10</v>
      </c>
      <c r="F2" s="7" t="s">
        <v>10</v>
      </c>
    </row>
    <row r="3" spans="1:6">
      <c r="A3" s="25" t="s">
        <v>54</v>
      </c>
      <c r="B3" s="25" t="s">
        <v>8</v>
      </c>
      <c r="C3" s="26"/>
      <c r="D3" s="25" t="s">
        <v>55</v>
      </c>
      <c r="E3" s="27">
        <v>5</v>
      </c>
      <c r="F3" s="7" t="s">
        <v>80</v>
      </c>
    </row>
    <row r="4" spans="1:6">
      <c r="A4" s="28" t="s">
        <v>56</v>
      </c>
      <c r="B4" s="28" t="s">
        <v>8</v>
      </c>
      <c r="C4" s="26"/>
      <c r="D4" s="28" t="s">
        <v>57</v>
      </c>
      <c r="E4" s="29">
        <v>15</v>
      </c>
      <c r="F4" s="7" t="s">
        <v>10</v>
      </c>
    </row>
    <row r="5" spans="1:6">
      <c r="A5" s="25" t="s">
        <v>58</v>
      </c>
      <c r="B5" s="25" t="s">
        <v>8</v>
      </c>
      <c r="C5" s="26"/>
      <c r="D5" s="25" t="s">
        <v>59</v>
      </c>
      <c r="E5" s="27">
        <v>5</v>
      </c>
      <c r="F5" s="7" t="s">
        <v>80</v>
      </c>
    </row>
    <row r="6" spans="1:6">
      <c r="A6" s="28" t="s">
        <v>60</v>
      </c>
      <c r="B6" s="28" t="s">
        <v>8</v>
      </c>
      <c r="C6" s="30"/>
      <c r="D6" s="28" t="s">
        <v>61</v>
      </c>
      <c r="E6" s="29">
        <v>5</v>
      </c>
      <c r="F6" s="7" t="s">
        <v>10</v>
      </c>
    </row>
    <row r="7" spans="1:6">
      <c r="A7" s="31" t="s">
        <v>62</v>
      </c>
      <c r="B7" s="31" t="s">
        <v>12</v>
      </c>
      <c r="C7" s="32">
        <v>20</v>
      </c>
      <c r="D7" s="31" t="s">
        <v>63</v>
      </c>
      <c r="E7" s="33">
        <v>5</v>
      </c>
      <c r="F7" s="7" t="s">
        <v>10</v>
      </c>
    </row>
    <row r="8" spans="1:6">
      <c r="A8" s="31" t="s">
        <v>64</v>
      </c>
      <c r="B8" s="31" t="s">
        <v>12</v>
      </c>
      <c r="C8" s="34"/>
      <c r="D8" s="31" t="s">
        <v>65</v>
      </c>
      <c r="E8" s="33">
        <v>5</v>
      </c>
      <c r="F8" s="7" t="s">
        <v>10</v>
      </c>
    </row>
    <row r="9" spans="1:6">
      <c r="A9" s="31" t="s">
        <v>66</v>
      </c>
      <c r="B9" s="31" t="s">
        <v>12</v>
      </c>
      <c r="C9" s="35"/>
      <c r="D9" s="31" t="s">
        <v>67</v>
      </c>
      <c r="E9" s="33">
        <v>10</v>
      </c>
      <c r="F9" s="7" t="s">
        <v>10</v>
      </c>
    </row>
    <row r="10" spans="1:6">
      <c r="A10" s="36" t="s">
        <v>68</v>
      </c>
      <c r="B10" s="36" t="s">
        <v>15</v>
      </c>
      <c r="C10" s="37">
        <v>20</v>
      </c>
      <c r="D10" s="36" t="s">
        <v>69</v>
      </c>
      <c r="E10" s="38">
        <v>10</v>
      </c>
      <c r="F10" s="7" t="s">
        <v>10</v>
      </c>
    </row>
    <row r="11" spans="1:6">
      <c r="A11" s="36" t="s">
        <v>70</v>
      </c>
      <c r="B11" s="36" t="s">
        <v>15</v>
      </c>
      <c r="C11" s="39"/>
      <c r="D11" s="36" t="s">
        <v>71</v>
      </c>
      <c r="E11" s="38">
        <v>5</v>
      </c>
      <c r="F11" s="7" t="s">
        <v>10</v>
      </c>
    </row>
    <row r="12" spans="1:6">
      <c r="A12" s="36" t="s">
        <v>72</v>
      </c>
      <c r="B12" s="36" t="s">
        <v>15</v>
      </c>
      <c r="C12" s="40"/>
      <c r="D12" s="36" t="s">
        <v>73</v>
      </c>
      <c r="E12" s="38">
        <v>5</v>
      </c>
      <c r="F12" s="7" t="s">
        <v>10</v>
      </c>
    </row>
    <row r="13" spans="1:6">
      <c r="A13" s="25" t="s">
        <v>74</v>
      </c>
      <c r="B13" s="25" t="s">
        <v>16</v>
      </c>
      <c r="C13" s="41">
        <v>20</v>
      </c>
      <c r="D13" s="25" t="s">
        <v>75</v>
      </c>
      <c r="E13" s="27">
        <v>10</v>
      </c>
      <c r="F13" s="7" t="s">
        <v>80</v>
      </c>
    </row>
    <row r="14" spans="1:6">
      <c r="A14" s="25" t="s">
        <v>76</v>
      </c>
      <c r="B14" s="25" t="s">
        <v>16</v>
      </c>
      <c r="C14" s="42"/>
      <c r="D14" s="25" t="s">
        <v>77</v>
      </c>
      <c r="E14" s="27">
        <v>5</v>
      </c>
      <c r="F14" s="7" t="s">
        <v>80</v>
      </c>
    </row>
    <row r="15" spans="1:6">
      <c r="A15" s="25" t="s">
        <v>78</v>
      </c>
      <c r="B15" s="25" t="s">
        <v>16</v>
      </c>
      <c r="C15" s="43"/>
      <c r="D15" s="25" t="s">
        <v>79</v>
      </c>
      <c r="E15" s="27">
        <v>5</v>
      </c>
      <c r="F15" s="7" t="s">
        <v>80</v>
      </c>
    </row>
  </sheetData>
  <autoFilter ref="A1:F15" xr:uid="{2000C8F6-0A92-41C9-ADB4-55CB2864810E}"/>
  <mergeCells count="4">
    <mergeCell ref="C2:C6"/>
    <mergeCell ref="C7:C9"/>
    <mergeCell ref="C10:C12"/>
    <mergeCell ref="C13:C15"/>
  </mergeCells>
  <dataValidations count="1">
    <dataValidation type="list" sqref="F2:F15" xr:uid="{B7F015CB-7BF3-4C52-824D-3924EACC81DD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Scorecard_Calculation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Narendhra Kumar</dc:creator>
  <cp:lastModifiedBy>Murugan Narendhra Kumar</cp:lastModifiedBy>
  <dcterms:created xsi:type="dcterms:W3CDTF">2026-07-21T09:58:09Z</dcterms:created>
  <dcterms:modified xsi:type="dcterms:W3CDTF">2026-07-21T10:11:52Z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2026-07-21T09:58:18Z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329b4df9-2802-4fd1-8182-f8cc9ca475df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